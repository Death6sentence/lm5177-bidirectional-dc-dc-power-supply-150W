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6C4ECFD8-D821-451A-8CCE-DDC034089112}" xr6:coauthVersionLast="47" xr6:coauthVersionMax="47" xr10:uidLastSave="{00000000-0000-0000-0000-000000000000}"/>
  <bookViews>
    <workbookView xWindow="5010" yWindow="4560" windowWidth="11850" windowHeight="7370" xr2:uid="{00000000-000D-0000-FFFF-FFFF00000000}"/>
  </bookViews>
  <sheets>
    <sheet name="README" sheetId="1" r:id="rId1"/>
    <sheet name="Test_Conditions" sheetId="2" r:id="rId2"/>
    <sheet name="Steady_State" sheetId="3" r:id="rId3"/>
    <sheet name="Voltage_Feedback" sheetId="4" r:id="rId4"/>
    <sheet name="Output_Ripple" sheetId="5" r:id="rId5"/>
    <sheet name="CC_Error" sheetId="6" r:id="rId6"/>
    <sheet name="Regulation" sheetId="7" r:id="rId7"/>
    <sheet name="Data_Dictionary" sheetId="8" r:id="rId8"/>
    <sheet name="Provenance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7" l="1"/>
  <c r="E7" i="7"/>
  <c r="F7" i="7" s="1"/>
  <c r="G6" i="7"/>
  <c r="E6" i="7"/>
  <c r="I6" i="7" s="1"/>
  <c r="G5" i="7"/>
  <c r="E5" i="7"/>
  <c r="I5" i="7" s="1"/>
  <c r="G4" i="7"/>
  <c r="E4" i="7"/>
  <c r="F4" i="7" s="1"/>
  <c r="G3" i="7"/>
  <c r="E3" i="7"/>
  <c r="I3" i="7" s="1"/>
  <c r="E5" i="6"/>
  <c r="F5" i="6" s="1"/>
  <c r="E4" i="6"/>
  <c r="F4" i="6" s="1"/>
  <c r="E3" i="6"/>
  <c r="F3" i="6" s="1"/>
  <c r="E7" i="5"/>
  <c r="F7" i="5" s="1"/>
  <c r="E6" i="5"/>
  <c r="F6" i="5" s="1"/>
  <c r="E5" i="5"/>
  <c r="F5" i="5" s="1"/>
  <c r="E4" i="5"/>
  <c r="F4" i="5" s="1"/>
  <c r="E3" i="5"/>
  <c r="F3" i="5" s="1"/>
  <c r="G5" i="4"/>
  <c r="F5" i="4"/>
  <c r="E5" i="4"/>
  <c r="H5" i="4" s="1"/>
  <c r="G4" i="4"/>
  <c r="F4" i="4"/>
  <c r="E4" i="4"/>
  <c r="H4" i="4" s="1"/>
  <c r="G3" i="4"/>
  <c r="F3" i="4"/>
  <c r="E3" i="4"/>
  <c r="M13" i="3"/>
  <c r="J13" i="3"/>
  <c r="L13" i="3" s="1"/>
  <c r="I13" i="3"/>
  <c r="K13" i="3" s="1"/>
  <c r="M12" i="3"/>
  <c r="J12" i="3"/>
  <c r="L12" i="3" s="1"/>
  <c r="I12" i="3"/>
  <c r="K12" i="3" s="1"/>
  <c r="M11" i="3"/>
  <c r="J11" i="3"/>
  <c r="L11" i="3" s="1"/>
  <c r="I11" i="3"/>
  <c r="K11" i="3" s="1"/>
  <c r="M10" i="3"/>
  <c r="L10" i="3"/>
  <c r="J10" i="3"/>
  <c r="I10" i="3"/>
  <c r="K10" i="3" s="1"/>
  <c r="M9" i="3"/>
  <c r="J9" i="3"/>
  <c r="L9" i="3" s="1"/>
  <c r="I9" i="3"/>
  <c r="K9" i="3" s="1"/>
  <c r="M8" i="3"/>
  <c r="J8" i="3"/>
  <c r="L8" i="3" s="1"/>
  <c r="I8" i="3"/>
  <c r="K8" i="3" s="1"/>
  <c r="M7" i="3"/>
  <c r="J7" i="3"/>
  <c r="L7" i="3" s="1"/>
  <c r="I7" i="3"/>
  <c r="K7" i="3" s="1"/>
  <c r="M6" i="3"/>
  <c r="L6" i="3"/>
  <c r="J6" i="3"/>
  <c r="I6" i="3"/>
  <c r="K6" i="3" s="1"/>
  <c r="M5" i="3"/>
  <c r="J5" i="3"/>
  <c r="L5" i="3" s="1"/>
  <c r="I5" i="3"/>
  <c r="K5" i="3" s="1"/>
  <c r="M4" i="3"/>
  <c r="J4" i="3"/>
  <c r="L4" i="3" s="1"/>
  <c r="I4" i="3"/>
  <c r="K4" i="3" s="1"/>
  <c r="M3" i="3"/>
  <c r="L3" i="3"/>
  <c r="J3" i="3"/>
  <c r="I3" i="3"/>
  <c r="K3" i="3" s="1"/>
  <c r="H3" i="4" l="1"/>
  <c r="I4" i="7"/>
  <c r="I7" i="7"/>
  <c r="F5" i="7"/>
  <c r="F3" i="7"/>
  <c r="F6" i="7"/>
</calcChain>
</file>

<file path=xl/sharedStrings.xml><?xml version="1.0" encoding="utf-8"?>
<sst xmlns="http://schemas.openxmlformats.org/spreadsheetml/2006/main" count="375" uniqueCount="197">
  <si>
    <t>LM5177 Measurement Data</t>
  </si>
  <si>
    <t>Item</t>
  </si>
  <si>
    <t>Description</t>
  </si>
  <si>
    <t>Scope</t>
  </si>
  <si>
    <t>Exact sanitized transcription of the project verification record's Chapter 4 measurement tables.</t>
  </si>
  <si>
    <t>Integrity</t>
  </si>
  <si>
    <t>No values were synthesized; measured inputs are retained as source values and all derived metrics are formulas.</t>
  </si>
  <si>
    <t>Recalculation</t>
  </si>
  <si>
    <t>Formula columns are recalculated in LibreOffice and checked for Excel formula errors.</t>
  </si>
  <si>
    <t>No-load efficiency</t>
  </si>
  <si>
    <t>Intentionally blank because the verification record specifies that efficiency is not calculated at no load.</t>
  </si>
  <si>
    <t>Feedback interpretation</t>
  </si>
  <si>
    <t>Feedback test values represent the corresponding output voltage, not the controller FB-pin voltage.</t>
  </si>
  <si>
    <t>Ripple measurement</t>
  </si>
  <si>
    <t>Output ripple measurements use a 20 MHz bandwidth limit.</t>
  </si>
  <si>
    <t>License</t>
  </si>
  <si>
    <t>CC-BY-SA-4.0</t>
  </si>
  <si>
    <t>Test Conditions and Central Assumptions</t>
  </si>
  <si>
    <t>Condition</t>
  </si>
  <si>
    <t>Value</t>
  </si>
  <si>
    <t>Unit / meaning</t>
  </si>
  <si>
    <t>Ambient temperature</t>
  </si>
  <si>
    <t>deg C</t>
  </si>
  <si>
    <t>Relative humidity</t>
  </si>
  <si>
    <t>%</t>
  </si>
  <si>
    <t>Board exposure</t>
  </si>
  <si>
    <t>Uncovered</t>
  </si>
  <si>
    <t>physical condition</t>
  </si>
  <si>
    <t>Oscilloscope</t>
  </si>
  <si>
    <t>100 MHz, 1 GS/s digital oscilloscope</t>
  </si>
  <si>
    <t>instrument</t>
  </si>
  <si>
    <t>Multimeter</t>
  </si>
  <si>
    <t>3.5-digit digital multimeter</t>
  </si>
  <si>
    <t>Load</t>
  </si>
  <si>
    <t>Single-phase adjustable resistive load</t>
  </si>
  <si>
    <t>load equipment</t>
  </si>
  <si>
    <t>Ripple measurement bandwidth limit</t>
  </si>
  <si>
    <t>MHz</t>
  </si>
  <si>
    <t>Output voltage target</t>
  </si>
  <si>
    <t>V</t>
  </si>
  <si>
    <t>Feedback voltage tolerance</t>
  </si>
  <si>
    <t>Ripple limit</t>
  </si>
  <si>
    <t>mVpp</t>
  </si>
  <si>
    <t>CC setpoint</t>
  </si>
  <si>
    <t>A</t>
  </si>
  <si>
    <t>CC absolute error limit</t>
  </si>
  <si>
    <t>Regulation limit</t>
  </si>
  <si>
    <t>Steady-State Measurements</t>
  </si>
  <si>
    <t>Vin_set (V)</t>
  </si>
  <si>
    <t>Iout_set (A)</t>
  </si>
  <si>
    <t>Vin_meas (V)</t>
  </si>
  <si>
    <t>Iin_meas (A)</t>
  </si>
  <si>
    <t>Vout_meas (V)</t>
  </si>
  <si>
    <t>Iout_meas (A)</t>
  </si>
  <si>
    <t>Reported voltage error (%)</t>
  </si>
  <si>
    <t>Reported efficiency (%)</t>
  </si>
  <si>
    <t>Calculated voltage error (%)</t>
  </si>
  <si>
    <t>Calculated efficiency (%)</t>
  </si>
  <si>
    <t>Voltage error delta (%)</t>
  </si>
  <si>
    <t>Efficiency delta (%)</t>
  </si>
  <si>
    <t>Operating mode</t>
  </si>
  <si>
    <t>Voltage Feedback Verification</t>
  </si>
  <si>
    <t>Load (A)</t>
  </si>
  <si>
    <t>Measured output voltage (V)</t>
  </si>
  <si>
    <t>Reported verdict</t>
  </si>
  <si>
    <t>Lower limit (V)</t>
  </si>
  <si>
    <t>Upper limit (V)</t>
  </si>
  <si>
    <t>Error (%)</t>
  </si>
  <si>
    <t>Calculated verdict</t>
  </si>
  <si>
    <t>PASS</t>
  </si>
  <si>
    <t>Output Ripple Verification</t>
  </si>
  <si>
    <t>Measured ripple (mVpp)</t>
  </si>
  <si>
    <t>Ripple limit (mVpp)</t>
  </si>
  <si>
    <t>Constant-Current Error Verification</t>
  </si>
  <si>
    <t>CC_set (A)</t>
  </si>
  <si>
    <t>Measured absolute error (A)</t>
  </si>
  <si>
    <t>Absolute error limit (A)</t>
  </si>
  <si>
    <t>Load and Line Regulation</t>
  </si>
  <si>
    <t>Metric</t>
  </si>
  <si>
    <t>Vin / comparison (V)</t>
  </si>
  <si>
    <t>Load / comparison (A)</t>
  </si>
  <si>
    <t>Reported value (%)</t>
  </si>
  <si>
    <t>Formula value (%)</t>
  </si>
  <si>
    <t>Delta (%)</t>
  </si>
  <si>
    <t>Limit (%)</t>
  </si>
  <si>
    <t>Load regulation</t>
  </si>
  <si>
    <t>10</t>
  </si>
  <si>
    <t>0 to 3</t>
  </si>
  <si>
    <t>16</t>
  </si>
  <si>
    <t>0 to 5</t>
  </si>
  <si>
    <t>30</t>
  </si>
  <si>
    <t>0 to 6.25</t>
  </si>
  <si>
    <t>Line regulation</t>
  </si>
  <si>
    <t>10, 16, 30</t>
  </si>
  <si>
    <t>1 fixed</t>
  </si>
  <si>
    <t>3 fixed</t>
  </si>
  <si>
    <t>Data Dictionary</t>
  </si>
  <si>
    <t>Dataset</t>
  </si>
  <si>
    <t>Column</t>
  </si>
  <si>
    <t>Unit</t>
  </si>
  <si>
    <t>Status</t>
  </si>
  <si>
    <t>Source / formula meaning</t>
  </si>
  <si>
    <t>Test_Conditions</t>
  </si>
  <si>
    <t>text</t>
  </si>
  <si>
    <t>Hardcoded condition</t>
  </si>
  <si>
    <t>Condition or central assumption label.</t>
  </si>
  <si>
    <t>varies</t>
  </si>
  <si>
    <t>Hardcoded source value</t>
  </si>
  <si>
    <t>Centralized test condition or assumption used by formulas.</t>
  </si>
  <si>
    <t>Hardcoded metadata</t>
  </si>
  <si>
    <t>Unit or physical meaning of the condition.</t>
  </si>
  <si>
    <t>Steady_State</t>
  </si>
  <si>
    <t>Vin_set</t>
  </si>
  <si>
    <t>Raw measured input</t>
  </si>
  <si>
    <t>Set input voltage from Table 4-1.</t>
  </si>
  <si>
    <t>Iout_set</t>
  </si>
  <si>
    <t>Set output current from Table 4-1.</t>
  </si>
  <si>
    <t>Vin_meas</t>
  </si>
  <si>
    <t>Measured input voltage from Table 4-1.</t>
  </si>
  <si>
    <t>Iin_meas</t>
  </si>
  <si>
    <t>Measured input current from Table 4-1.</t>
  </si>
  <si>
    <t>Vout_meas</t>
  </si>
  <si>
    <t>Measured output voltage from Table 4-1.</t>
  </si>
  <si>
    <t>Iout_meas</t>
  </si>
  <si>
    <t>Measured output current from Table 4-1.</t>
  </si>
  <si>
    <t>Reported voltage error</t>
  </si>
  <si>
    <t>Raw reported input</t>
  </si>
  <si>
    <t>Reported percentage stored as an Excel decimal percentage.</t>
  </si>
  <si>
    <t>Reported efficiency</t>
  </si>
  <si>
    <t>Reported percentage stored as an Excel decimal percentage; blank at no load.</t>
  </si>
  <si>
    <t>Calculated voltage error</t>
  </si>
  <si>
    <t>Formula</t>
  </si>
  <si>
    <t>(Vout_meas - target voltage) / target voltage.</t>
  </si>
  <si>
    <t>Calculated efficiency</t>
  </si>
  <si>
    <t>Blank at zero measured output current; otherwise (Vout_meas * Iout_meas) / (Vin_meas * Iin_meas).</t>
  </si>
  <si>
    <t>Voltage error delta</t>
  </si>
  <si>
    <t>Calculated voltage error minus reported voltage error.</t>
  </si>
  <si>
    <t>Efficiency delta</t>
  </si>
  <si>
    <t>Calculated efficiency minus reported efficiency; blank at no load.</t>
  </si>
  <si>
    <t>Boost when Vin setpoint is below target, Equal-voltage at target, otherwise Buck.</t>
  </si>
  <si>
    <t>Voltage_Feedback</t>
  </si>
  <si>
    <t>Set input voltage from Table 4-2.</t>
  </si>
  <si>
    <t>Load current from Table 4-2.</t>
  </si>
  <si>
    <t>Measured output voltage</t>
  </si>
  <si>
    <t>Feedback-corresponding output voltage, not controller FB-pin voltage.</t>
  </si>
  <si>
    <t>Reported pass/fail verdict from Table 4-2.</t>
  </si>
  <si>
    <t>Lower limit</t>
  </si>
  <si>
    <t>Target voltage multiplied by 1 minus feedback tolerance.</t>
  </si>
  <si>
    <t>Upper limit</t>
  </si>
  <si>
    <t>Target voltage multiplied by 1 plus feedback tolerance.</t>
  </si>
  <si>
    <t>Error</t>
  </si>
  <si>
    <t>Measured output voltage minus target, divided by target.</t>
  </si>
  <si>
    <t>PASS when measured voltage is within the formula lower and upper limits.</t>
  </si>
  <si>
    <t>Output_Ripple</t>
  </si>
  <si>
    <t>Measured ripple</t>
  </si>
  <si>
    <t>Measured output ripple using the 20 MHz bandwidth limit.</t>
  </si>
  <si>
    <t>Central ripple limit from Test_Conditions.</t>
  </si>
  <si>
    <t>PASS when measured ripple is at or below the central ripple limit.</t>
  </si>
  <si>
    <t>CC_Error</t>
  </si>
  <si>
    <t>Set input voltage from Table 4-3.</t>
  </si>
  <si>
    <t>CC_set</t>
  </si>
  <si>
    <t>Constant-current setpoint from Table 4-3.</t>
  </si>
  <si>
    <t>Measured absolute error</t>
  </si>
  <si>
    <t>Absolute deviation from the 1 A CC setpoint, not actual output current.</t>
  </si>
  <si>
    <t>Reported pass/fail verdict from Table 4-3.</t>
  </si>
  <si>
    <t>Absolute error limit</t>
  </si>
  <si>
    <t>Central CC absolute error limit from Test_Conditions.</t>
  </si>
  <si>
    <t>PASS when measured absolute error is at or below the central CC limit.</t>
  </si>
  <si>
    <t>Regulation</t>
  </si>
  <si>
    <t>Load regulation or line regulation metric from Table 4-4.</t>
  </si>
  <si>
    <t>Vin / comparison</t>
  </si>
  <si>
    <t>Input voltage or voltage comparison set from Table 4-4.</t>
  </si>
  <si>
    <t>Load / comparison</t>
  </si>
  <si>
    <t>Load current range or fixed current from Table 4-4.</t>
  </si>
  <si>
    <t>Reported value</t>
  </si>
  <si>
    <t>Published Table 4-4 percentage stored as an Excel decimal percentage.</t>
  </si>
  <si>
    <t>Formula value</t>
  </si>
  <si>
    <t>Load regulation uses absolute endpoint Vout difference / target; line regulation uses (max Vout - min Vout) / target.</t>
  </si>
  <si>
    <t>Delta</t>
  </si>
  <si>
    <t>Formula value minus reported value.</t>
  </si>
  <si>
    <t>Limit</t>
  </si>
  <si>
    <t>Central regulation limit from Test_Conditions.</t>
  </si>
  <si>
    <t>Reported pass/fail verdict from Table 4-4.</t>
  </si>
  <si>
    <t>PASS when formula value is at or below the central regulation limit.</t>
  </si>
  <si>
    <t>Provenance and License</t>
  </si>
  <si>
    <t>Field</t>
  </si>
  <si>
    <t>Source</t>
  </si>
  <si>
    <t>Sanitized project verification record, Chapter 4 tables 4-1 through 4-4</t>
  </si>
  <si>
    <t>Extraction date</t>
  </si>
  <si>
    <t>2026-10-19</t>
  </si>
  <si>
    <t>Source retention</t>
  </si>
  <si>
    <t>Source retained privately outside this release</t>
  </si>
  <si>
    <t>Metadata handling</t>
  </si>
  <si>
    <t>Identity/document metadata was intentionally omitted</t>
  </si>
  <si>
    <t>SPDX identifier</t>
  </si>
  <si>
    <t>Attribution</t>
  </si>
  <si>
    <t>LM5177 Power Converter Project Contributors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</si>
</sst>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;\(0.000\);\-"/>
    <numFmt numFmtId="166" formatCode="0.000%;\(0.000%\);\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166" fontId="5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65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3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常规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ditionsTable" displayName="ConditionsTable" ref="A2:C15">
  <autoFilter ref="A2:C15" xr:uid="{00000000-0009-0000-0100-000001000000}"/>
  <tableColumns count="3">
    <tableColumn id="1" xr3:uid="{00000000-0010-0000-0000-000001000000}" name="Condition"/>
    <tableColumn id="2" xr3:uid="{00000000-0010-0000-0000-000002000000}" name="Value"/>
    <tableColumn id="3" xr3:uid="{00000000-0010-0000-0000-000003000000}" name="Unit / 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eadyStateTable" displayName="SteadyStateTable" ref="A2:M13">
  <autoFilter ref="A2:M13" xr:uid="{00000000-0009-0000-0100-000002000000}"/>
  <tableColumns count="13">
    <tableColumn id="1" xr3:uid="{00000000-0010-0000-0100-000001000000}" name="Vin_set (V)"/>
    <tableColumn id="2" xr3:uid="{00000000-0010-0000-0100-000002000000}" name="Iout_set (A)"/>
    <tableColumn id="3" xr3:uid="{00000000-0010-0000-0100-000003000000}" name="Vin_meas (V)"/>
    <tableColumn id="4" xr3:uid="{00000000-0010-0000-0100-000004000000}" name="Iin_meas (A)"/>
    <tableColumn id="5" xr3:uid="{00000000-0010-0000-0100-000005000000}" name="Vout_meas (V)"/>
    <tableColumn id="6" xr3:uid="{00000000-0010-0000-0100-000006000000}" name="Iout_meas (A)"/>
    <tableColumn id="7" xr3:uid="{00000000-0010-0000-0100-000007000000}" name="Reported voltage error (%)"/>
    <tableColumn id="8" xr3:uid="{00000000-0010-0000-0100-000008000000}" name="Reported efficiency (%)"/>
    <tableColumn id="9" xr3:uid="{00000000-0010-0000-0100-000009000000}" name="Calculated voltage error (%)"/>
    <tableColumn id="10" xr3:uid="{00000000-0010-0000-0100-00000A000000}" name="Calculated efficiency (%)"/>
    <tableColumn id="11" xr3:uid="{00000000-0010-0000-0100-00000B000000}" name="Voltage error delta (%)"/>
    <tableColumn id="12" xr3:uid="{00000000-0010-0000-0100-00000C000000}" name="Efficiency delta (%)"/>
    <tableColumn id="13" xr3:uid="{00000000-0010-0000-0100-00000D000000}" name="Operating m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oltageFeedbackTable" displayName="VoltageFeedbackTable" ref="A2:H5">
  <autoFilter ref="A2:H5" xr:uid="{00000000-0009-0000-0100-000003000000}"/>
  <tableColumns count="8">
    <tableColumn id="1" xr3:uid="{00000000-0010-0000-0200-000001000000}" name="Vin_set (V)"/>
    <tableColumn id="2" xr3:uid="{00000000-0010-0000-0200-000002000000}" name="Load (A)"/>
    <tableColumn id="3" xr3:uid="{00000000-0010-0000-0200-000003000000}" name="Measured output voltage (V)"/>
    <tableColumn id="4" xr3:uid="{00000000-0010-0000-0200-000004000000}" name="Reported verdict"/>
    <tableColumn id="5" xr3:uid="{00000000-0010-0000-0200-000005000000}" name="Lower limit (V)"/>
    <tableColumn id="6" xr3:uid="{00000000-0010-0000-0200-000006000000}" name="Upper limit (V)"/>
    <tableColumn id="7" xr3:uid="{00000000-0010-0000-0200-000007000000}" name="Error (%)"/>
    <tableColumn id="8" xr3:uid="{00000000-0010-0000-0200-000008000000}" name="Calculated verdi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putRippleTable" displayName="OutputRippleTable" ref="A2:F7">
  <autoFilter ref="A2:F7" xr:uid="{00000000-0009-0000-0100-000004000000}"/>
  <tableColumns count="6">
    <tableColumn id="1" xr3:uid="{00000000-0010-0000-0300-000001000000}" name="Vin_set (V)"/>
    <tableColumn id="2" xr3:uid="{00000000-0010-0000-0300-000002000000}" name="Load (A)"/>
    <tableColumn id="3" xr3:uid="{00000000-0010-0000-0300-000003000000}" name="Measured ripple (mVpp)"/>
    <tableColumn id="4" xr3:uid="{00000000-0010-0000-0300-000004000000}" name="Reported verdict"/>
    <tableColumn id="5" xr3:uid="{00000000-0010-0000-0300-000005000000}" name="Ripple limit (mVpp)"/>
    <tableColumn id="6" xr3:uid="{00000000-0010-0000-0300-000006000000}" name="Calculated verdi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CErrorTable" displayName="CCErrorTable" ref="A2:F5">
  <autoFilter ref="A2:F5" xr:uid="{00000000-0009-0000-0100-000005000000}"/>
  <tableColumns count="6">
    <tableColumn id="1" xr3:uid="{00000000-0010-0000-0400-000001000000}" name="Vin_set (V)"/>
    <tableColumn id="2" xr3:uid="{00000000-0010-0000-0400-000002000000}" name="CC_set (A)"/>
    <tableColumn id="3" xr3:uid="{00000000-0010-0000-0400-000003000000}" name="Measured absolute error (A)"/>
    <tableColumn id="4" xr3:uid="{00000000-0010-0000-0400-000004000000}" name="Reported verdict"/>
    <tableColumn id="5" xr3:uid="{00000000-0010-0000-0400-000005000000}" name="Absolute error limit (A)"/>
    <tableColumn id="6" xr3:uid="{00000000-0010-0000-0400-000006000000}" name="Calculated ver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gulationTable" displayName="RegulationTable" ref="A2:I7">
  <autoFilter ref="A2:I7" xr:uid="{00000000-0009-0000-0100-000006000000}"/>
  <tableColumns count="9">
    <tableColumn id="1" xr3:uid="{00000000-0010-0000-0500-000001000000}" name="Metric"/>
    <tableColumn id="2" xr3:uid="{00000000-0010-0000-0500-000002000000}" name="Vin / comparison (V)"/>
    <tableColumn id="3" xr3:uid="{00000000-0010-0000-0500-000003000000}" name="Load / comparison (A)"/>
    <tableColumn id="4" xr3:uid="{00000000-0010-0000-0500-000004000000}" name="Reported value (%)"/>
    <tableColumn id="5" xr3:uid="{00000000-0010-0000-0500-000005000000}" name="Formula value (%)"/>
    <tableColumn id="6" xr3:uid="{00000000-0010-0000-0500-000006000000}" name="Delta (%)"/>
    <tableColumn id="7" xr3:uid="{00000000-0010-0000-0500-000007000000}" name="Limit (%)"/>
    <tableColumn id="8" xr3:uid="{00000000-0010-0000-0500-000008000000}" name="Reported verdict"/>
    <tableColumn id="9" xr3:uid="{00000000-0010-0000-0500-000009000000}" name="Calculated verdi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taDictionaryTable" displayName="DataDictionaryTable" ref="A2:E47">
  <autoFilter ref="A2:E47" xr:uid="{00000000-0009-0000-0100-000007000000}"/>
  <tableColumns count="5">
    <tableColumn id="1" xr3:uid="{00000000-0010-0000-0600-000001000000}" name="Dataset"/>
    <tableColumn id="2" xr3:uid="{00000000-0010-0000-0600-000002000000}" name="Column"/>
    <tableColumn id="3" xr3:uid="{00000000-0010-0000-0600-000003000000}" name="Unit"/>
    <tableColumn id="4" xr3:uid="{00000000-0010-0000-0600-000004000000}" name="Status"/>
    <tableColumn id="5" xr3:uid="{00000000-0010-0000-0600-000005000000}" name="Source / formula mean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ovenanceTable" displayName="ProvenanceTable" ref="A2:B8">
  <autoFilter ref="A2:B8" xr:uid="{00000000-0009-0000-0100-000008000000}"/>
  <tableColumns count="2">
    <tableColumn id="1" xr3:uid="{00000000-0010-0000-0700-000001000000}" name="Field"/>
    <tableColumn id="2" xr3:uid="{00000000-0010-0000-07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4" x14ac:dyDescent="0.25"/>
  <cols>
    <col min="1" max="1" width="26" customWidth="1"/>
    <col min="2" max="2" width="110" customWidth="1"/>
  </cols>
  <sheetData>
    <row r="1" spans="1:2" ht="24" customHeight="1" x14ac:dyDescent="0.25">
      <c r="A1" s="15" t="s">
        <v>0</v>
      </c>
      <c r="B1" s="16"/>
    </row>
    <row r="2" spans="1:2" ht="34" customHeight="1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</sheetData>
  <mergeCells count="1">
    <mergeCell ref="A1:B1"/>
  </mergeCells>
  <pageMargins left="0.25" right="0.25" top="0.5" bottom="0.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1" width="42" customWidth="1"/>
    <col min="2" max="2" width="24" customWidth="1"/>
    <col min="3" max="3" width="70" customWidth="1"/>
  </cols>
  <sheetData>
    <row r="1" spans="1:3" ht="24" customHeight="1" x14ac:dyDescent="0.25">
      <c r="A1" s="15" t="s">
        <v>17</v>
      </c>
      <c r="B1" s="16"/>
      <c r="C1" s="16"/>
    </row>
    <row r="2" spans="1:3" ht="34" customHeight="1" x14ac:dyDescent="0.25">
      <c r="A2" s="1" t="s">
        <v>18</v>
      </c>
      <c r="B2" s="1" t="s">
        <v>19</v>
      </c>
      <c r="C2" s="1" t="s">
        <v>20</v>
      </c>
    </row>
    <row r="3" spans="1:3" x14ac:dyDescent="0.25">
      <c r="A3" s="2" t="s">
        <v>21</v>
      </c>
      <c r="B3" s="3">
        <v>25</v>
      </c>
      <c r="C3" s="2" t="s">
        <v>22</v>
      </c>
    </row>
    <row r="4" spans="1:3" x14ac:dyDescent="0.25">
      <c r="A4" s="2" t="s">
        <v>23</v>
      </c>
      <c r="B4" s="4">
        <v>0.61</v>
      </c>
      <c r="C4" s="2" t="s">
        <v>24</v>
      </c>
    </row>
    <row r="5" spans="1:3" x14ac:dyDescent="0.25">
      <c r="A5" s="2" t="s">
        <v>25</v>
      </c>
      <c r="B5" s="3" t="s">
        <v>26</v>
      </c>
      <c r="C5" s="2" t="s">
        <v>27</v>
      </c>
    </row>
    <row r="6" spans="1:3" ht="28" x14ac:dyDescent="0.25">
      <c r="A6" s="2" t="s">
        <v>28</v>
      </c>
      <c r="B6" s="3" t="s">
        <v>29</v>
      </c>
      <c r="C6" s="2" t="s">
        <v>30</v>
      </c>
    </row>
    <row r="7" spans="1:3" x14ac:dyDescent="0.25">
      <c r="A7" s="2" t="s">
        <v>31</v>
      </c>
      <c r="B7" s="3" t="s">
        <v>32</v>
      </c>
      <c r="C7" s="2" t="s">
        <v>30</v>
      </c>
    </row>
    <row r="8" spans="1:3" ht="28" x14ac:dyDescent="0.25">
      <c r="A8" s="2" t="s">
        <v>33</v>
      </c>
      <c r="B8" s="3" t="s">
        <v>34</v>
      </c>
      <c r="C8" s="2" t="s">
        <v>35</v>
      </c>
    </row>
    <row r="9" spans="1:3" x14ac:dyDescent="0.25">
      <c r="A9" s="2" t="s">
        <v>36</v>
      </c>
      <c r="B9" s="3">
        <v>20</v>
      </c>
      <c r="C9" s="2" t="s">
        <v>37</v>
      </c>
    </row>
    <row r="10" spans="1:3" x14ac:dyDescent="0.25">
      <c r="A10" s="2" t="s">
        <v>38</v>
      </c>
      <c r="B10" s="3">
        <v>16</v>
      </c>
      <c r="C10" s="2" t="s">
        <v>39</v>
      </c>
    </row>
    <row r="11" spans="1:3" x14ac:dyDescent="0.25">
      <c r="A11" s="2" t="s">
        <v>40</v>
      </c>
      <c r="B11" s="4">
        <v>0.01</v>
      </c>
      <c r="C11" s="2" t="s">
        <v>24</v>
      </c>
    </row>
    <row r="12" spans="1:3" x14ac:dyDescent="0.25">
      <c r="A12" s="2" t="s">
        <v>41</v>
      </c>
      <c r="B12" s="3">
        <v>200</v>
      </c>
      <c r="C12" s="2" t="s">
        <v>42</v>
      </c>
    </row>
    <row r="13" spans="1:3" x14ac:dyDescent="0.25">
      <c r="A13" s="2" t="s">
        <v>43</v>
      </c>
      <c r="B13" s="3">
        <v>1</v>
      </c>
      <c r="C13" s="2" t="s">
        <v>44</v>
      </c>
    </row>
    <row r="14" spans="1:3" x14ac:dyDescent="0.25">
      <c r="A14" s="2" t="s">
        <v>45</v>
      </c>
      <c r="B14" s="3">
        <v>0.3</v>
      </c>
      <c r="C14" s="2" t="s">
        <v>44</v>
      </c>
    </row>
    <row r="15" spans="1:3" x14ac:dyDescent="0.25">
      <c r="A15" s="2" t="s">
        <v>46</v>
      </c>
      <c r="B15" s="4">
        <v>0.01</v>
      </c>
      <c r="C15" s="2" t="s">
        <v>24</v>
      </c>
    </row>
  </sheetData>
  <mergeCells count="1">
    <mergeCell ref="A1:C1"/>
  </mergeCells>
  <pageMargins left="0.25" right="0.25" top="0.5" bottom="0.5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3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6" width="13" customWidth="1"/>
    <col min="7" max="8" width="20" customWidth="1"/>
    <col min="9" max="10" width="22" customWidth="1"/>
    <col min="11" max="13" width="20" customWidth="1"/>
  </cols>
  <sheetData>
    <row r="1" spans="1:13" ht="24" customHeight="1" x14ac:dyDescent="0.25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4" customHeight="1" x14ac:dyDescent="0.25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</row>
    <row r="3" spans="1:13" x14ac:dyDescent="0.25">
      <c r="A3" s="5">
        <v>10</v>
      </c>
      <c r="B3" s="5">
        <v>0</v>
      </c>
      <c r="C3" s="5">
        <v>10.06</v>
      </c>
      <c r="D3" s="5">
        <v>0.10199999999999999</v>
      </c>
      <c r="E3" s="5">
        <v>15.96</v>
      </c>
      <c r="F3" s="5">
        <v>0</v>
      </c>
      <c r="G3" s="6">
        <v>-2.5000000000000001E-3</v>
      </c>
      <c r="H3" s="6"/>
      <c r="I3" s="7">
        <f>(E3-Test_Conditions!$B$10)/Test_Conditions!$B$10</f>
        <v>-2.4999999999999467E-3</v>
      </c>
      <c r="J3" s="8" t="str">
        <f t="shared" ref="J3:J13" si="0">IF(OR(F3=0,C3*D3=0),"",(E3*F3)/(C3*D3))</f>
        <v/>
      </c>
      <c r="K3" s="8">
        <f t="shared" ref="K3:K13" si="1">I3-G3</f>
        <v>5.3342746886286818E-17</v>
      </c>
      <c r="L3" s="8" t="str">
        <f t="shared" ref="L3:L13" si="2">IF(H3="","",J3-H3)</f>
        <v/>
      </c>
      <c r="M3" s="9" t="str">
        <f>IF(A3&lt;Test_Conditions!$B$10,"Boost",IF(A3=Test_Conditions!$B$10,"Equal-voltage","Buck"))</f>
        <v>Boost</v>
      </c>
    </row>
    <row r="4" spans="1:13" x14ac:dyDescent="0.25">
      <c r="A4" s="5">
        <v>10</v>
      </c>
      <c r="B4" s="5">
        <v>1</v>
      </c>
      <c r="C4" s="5">
        <v>10</v>
      </c>
      <c r="D4" s="5">
        <v>1.74</v>
      </c>
      <c r="E4" s="5">
        <v>15.95</v>
      </c>
      <c r="F4" s="5">
        <v>1</v>
      </c>
      <c r="G4" s="6">
        <v>-3.0999999999999999E-3</v>
      </c>
      <c r="H4" s="6">
        <v>0.91670000000000007</v>
      </c>
      <c r="I4" s="7">
        <f>(E4-Test_Conditions!$B$10)/Test_Conditions!$B$10</f>
        <v>-3.1250000000000444E-3</v>
      </c>
      <c r="J4" s="8">
        <f t="shared" si="0"/>
        <v>0.91666666666666674</v>
      </c>
      <c r="K4" s="8">
        <f t="shared" si="1"/>
        <v>-2.5000000000044518E-5</v>
      </c>
      <c r="L4" s="8">
        <f t="shared" si="2"/>
        <v>-3.3333333333329662E-5</v>
      </c>
      <c r="M4" s="9" t="str">
        <f>IF(A4&lt;Test_Conditions!$B$10,"Boost",IF(A4=Test_Conditions!$B$10,"Equal-voltage","Buck"))</f>
        <v>Boost</v>
      </c>
    </row>
    <row r="5" spans="1:13" x14ac:dyDescent="0.25">
      <c r="A5" s="5">
        <v>10</v>
      </c>
      <c r="B5" s="5">
        <v>3</v>
      </c>
      <c r="C5" s="5">
        <v>9.93</v>
      </c>
      <c r="D5" s="5">
        <v>5.21</v>
      </c>
      <c r="E5" s="5">
        <v>15.95</v>
      </c>
      <c r="F5" s="5">
        <v>3.05</v>
      </c>
      <c r="G5" s="6">
        <v>-3.0999999999999999E-3</v>
      </c>
      <c r="H5" s="6">
        <v>0.94030000000000002</v>
      </c>
      <c r="I5" s="7">
        <f>(E5-Test_Conditions!$B$10)/Test_Conditions!$B$10</f>
        <v>-3.1250000000000444E-3</v>
      </c>
      <c r="J5" s="8">
        <f t="shared" si="0"/>
        <v>0.94031541326715029</v>
      </c>
      <c r="K5" s="8">
        <f t="shared" si="1"/>
        <v>-2.5000000000044518E-5</v>
      </c>
      <c r="L5" s="8">
        <f t="shared" si="2"/>
        <v>1.541326715026603E-5</v>
      </c>
      <c r="M5" s="9" t="str">
        <f>IF(A5&lt;Test_Conditions!$B$10,"Boost",IF(A5=Test_Conditions!$B$10,"Equal-voltage","Buck"))</f>
        <v>Boost</v>
      </c>
    </row>
    <row r="6" spans="1:13" x14ac:dyDescent="0.25">
      <c r="A6" s="5">
        <v>16</v>
      </c>
      <c r="B6" s="5">
        <v>0</v>
      </c>
      <c r="C6" s="5">
        <v>16</v>
      </c>
      <c r="D6" s="5">
        <v>0.16400000000000001</v>
      </c>
      <c r="E6" s="5">
        <v>15.965</v>
      </c>
      <c r="F6" s="5">
        <v>0</v>
      </c>
      <c r="G6" s="6">
        <v>-2.2000000000000001E-3</v>
      </c>
      <c r="H6" s="6"/>
      <c r="I6" s="7">
        <f>(E6-Test_Conditions!$B$10)/Test_Conditions!$B$10</f>
        <v>-2.1875000000000089E-3</v>
      </c>
      <c r="J6" s="8" t="str">
        <f t="shared" si="0"/>
        <v/>
      </c>
      <c r="K6" s="8">
        <f t="shared" si="1"/>
        <v>1.2499999999991251E-5</v>
      </c>
      <c r="L6" s="8" t="str">
        <f t="shared" si="2"/>
        <v/>
      </c>
      <c r="M6" s="9" t="str">
        <f>IF(A6&lt;Test_Conditions!$B$10,"Boost",IF(A6=Test_Conditions!$B$10,"Equal-voltage","Buck"))</f>
        <v>Equal-voltage</v>
      </c>
    </row>
    <row r="7" spans="1:13" x14ac:dyDescent="0.25">
      <c r="A7" s="5">
        <v>16</v>
      </c>
      <c r="B7" s="5">
        <v>1</v>
      </c>
      <c r="C7" s="5">
        <v>16</v>
      </c>
      <c r="D7" s="5">
        <v>1.2010000000000001</v>
      </c>
      <c r="E7" s="5">
        <v>15.97</v>
      </c>
      <c r="F7" s="5">
        <v>1</v>
      </c>
      <c r="G7" s="6">
        <v>-1.9E-3</v>
      </c>
      <c r="H7" s="6">
        <v>0.83109999999999995</v>
      </c>
      <c r="I7" s="7">
        <f>(E7-Test_Conditions!$B$10)/Test_Conditions!$B$10</f>
        <v>-1.87499999999996E-3</v>
      </c>
      <c r="J7" s="8">
        <f t="shared" si="0"/>
        <v>0.83107826810990837</v>
      </c>
      <c r="K7" s="8">
        <f t="shared" si="1"/>
        <v>2.5000000000039964E-5</v>
      </c>
      <c r="L7" s="8">
        <f t="shared" si="2"/>
        <v>-2.173189009158083E-5</v>
      </c>
      <c r="M7" s="9" t="str">
        <f>IF(A7&lt;Test_Conditions!$B$10,"Boost",IF(A7=Test_Conditions!$B$10,"Equal-voltage","Buck"))</f>
        <v>Equal-voltage</v>
      </c>
    </row>
    <row r="8" spans="1:13" x14ac:dyDescent="0.25">
      <c r="A8" s="5">
        <v>16</v>
      </c>
      <c r="B8" s="5">
        <v>3</v>
      </c>
      <c r="C8" s="5">
        <v>16</v>
      </c>
      <c r="D8" s="5">
        <v>3.2959999999999998</v>
      </c>
      <c r="E8" s="5">
        <v>15.96</v>
      </c>
      <c r="F8" s="5">
        <v>2.98</v>
      </c>
      <c r="G8" s="6">
        <v>-2.5000000000000001E-3</v>
      </c>
      <c r="H8" s="6">
        <v>0.90189999999999992</v>
      </c>
      <c r="I8" s="7">
        <f>(E8-Test_Conditions!$B$10)/Test_Conditions!$B$10</f>
        <v>-2.4999999999999467E-3</v>
      </c>
      <c r="J8" s="8">
        <f t="shared" si="0"/>
        <v>0.90186589805825246</v>
      </c>
      <c r="K8" s="8">
        <f t="shared" si="1"/>
        <v>5.3342746886286818E-17</v>
      </c>
      <c r="L8" s="8">
        <f t="shared" si="2"/>
        <v>-3.4101941747466391E-5</v>
      </c>
      <c r="M8" s="9" t="str">
        <f>IF(A8&lt;Test_Conditions!$B$10,"Boost",IF(A8=Test_Conditions!$B$10,"Equal-voltage","Buck"))</f>
        <v>Equal-voltage</v>
      </c>
    </row>
    <row r="9" spans="1:13" x14ac:dyDescent="0.25">
      <c r="A9" s="5">
        <v>16</v>
      </c>
      <c r="B9" s="5">
        <v>5</v>
      </c>
      <c r="C9" s="5">
        <v>16.05</v>
      </c>
      <c r="D9" s="5">
        <v>5.4</v>
      </c>
      <c r="E9" s="5">
        <v>15.94</v>
      </c>
      <c r="F9" s="5">
        <v>4.95</v>
      </c>
      <c r="G9" s="6">
        <v>-3.8E-3</v>
      </c>
      <c r="H9" s="6">
        <v>0.9104000000000001</v>
      </c>
      <c r="I9" s="7">
        <f>(E9-Test_Conditions!$B$10)/Test_Conditions!$B$10</f>
        <v>-3.7500000000000311E-3</v>
      </c>
      <c r="J9" s="8">
        <f t="shared" si="0"/>
        <v>0.9103842159916925</v>
      </c>
      <c r="K9" s="8">
        <f t="shared" si="1"/>
        <v>4.9999999999968906E-5</v>
      </c>
      <c r="L9" s="8">
        <f t="shared" si="2"/>
        <v>-1.5784008307595521E-5</v>
      </c>
      <c r="M9" s="9" t="str">
        <f>IF(A9&lt;Test_Conditions!$B$10,"Boost",IF(A9=Test_Conditions!$B$10,"Equal-voltage","Buck"))</f>
        <v>Equal-voltage</v>
      </c>
    </row>
    <row r="10" spans="1:13" x14ac:dyDescent="0.25">
      <c r="A10" s="5">
        <v>30</v>
      </c>
      <c r="B10" s="5">
        <v>0</v>
      </c>
      <c r="C10" s="5">
        <v>30</v>
      </c>
      <c r="D10" s="5">
        <v>0.16700000000000001</v>
      </c>
      <c r="E10" s="5">
        <v>15.97</v>
      </c>
      <c r="F10" s="5">
        <v>0</v>
      </c>
      <c r="G10" s="6">
        <v>-1.9E-3</v>
      </c>
      <c r="H10" s="6"/>
      <c r="I10" s="7">
        <f>(E10-Test_Conditions!$B$10)/Test_Conditions!$B$10</f>
        <v>-1.87499999999996E-3</v>
      </c>
      <c r="J10" s="8" t="str">
        <f t="shared" si="0"/>
        <v/>
      </c>
      <c r="K10" s="8">
        <f t="shared" si="1"/>
        <v>2.5000000000039964E-5</v>
      </c>
      <c r="L10" s="8" t="str">
        <f t="shared" si="2"/>
        <v/>
      </c>
      <c r="M10" s="9" t="str">
        <f>IF(A10&lt;Test_Conditions!$B$10,"Boost",IF(A10=Test_Conditions!$B$10,"Equal-voltage","Buck"))</f>
        <v>Buck</v>
      </c>
    </row>
    <row r="11" spans="1:13" x14ac:dyDescent="0.25">
      <c r="A11" s="5">
        <v>30</v>
      </c>
      <c r="B11" s="5">
        <v>1</v>
      </c>
      <c r="C11" s="5">
        <v>30</v>
      </c>
      <c r="D11" s="5">
        <v>0.70499999999999996</v>
      </c>
      <c r="E11" s="5">
        <v>15.96</v>
      </c>
      <c r="F11" s="5">
        <v>1</v>
      </c>
      <c r="G11" s="6">
        <v>-2.5000000000000001E-3</v>
      </c>
      <c r="H11" s="6">
        <v>0.75459999999999994</v>
      </c>
      <c r="I11" s="7">
        <f>(E11-Test_Conditions!$B$10)/Test_Conditions!$B$10</f>
        <v>-2.4999999999999467E-3</v>
      </c>
      <c r="J11" s="8">
        <f t="shared" si="0"/>
        <v>0.75460992907801427</v>
      </c>
      <c r="K11" s="8">
        <f t="shared" si="1"/>
        <v>5.3342746886286818E-17</v>
      </c>
      <c r="L11" s="8">
        <f t="shared" si="2"/>
        <v>9.9290780143368451E-6</v>
      </c>
      <c r="M11" s="9" t="str">
        <f>IF(A11&lt;Test_Conditions!$B$10,"Boost",IF(A11=Test_Conditions!$B$10,"Equal-voltage","Buck"))</f>
        <v>Buck</v>
      </c>
    </row>
    <row r="12" spans="1:13" x14ac:dyDescent="0.25">
      <c r="A12" s="5">
        <v>30</v>
      </c>
      <c r="B12" s="5">
        <v>3</v>
      </c>
      <c r="C12" s="5">
        <v>30</v>
      </c>
      <c r="D12" s="5">
        <v>1.776</v>
      </c>
      <c r="E12" s="5">
        <v>15.95</v>
      </c>
      <c r="F12" s="5">
        <v>3.03</v>
      </c>
      <c r="G12" s="6">
        <v>-3.0999999999999999E-3</v>
      </c>
      <c r="H12" s="6">
        <v>0.90709999999999991</v>
      </c>
      <c r="I12" s="7">
        <f>(E12-Test_Conditions!$B$10)/Test_Conditions!$B$10</f>
        <v>-3.1250000000000444E-3</v>
      </c>
      <c r="J12" s="8">
        <f t="shared" si="0"/>
        <v>0.90706644144144144</v>
      </c>
      <c r="K12" s="8">
        <f t="shared" si="1"/>
        <v>-2.5000000000044518E-5</v>
      </c>
      <c r="L12" s="8">
        <f t="shared" si="2"/>
        <v>-3.3558558558466345E-5</v>
      </c>
      <c r="M12" s="9" t="str">
        <f>IF(A12&lt;Test_Conditions!$B$10,"Boost",IF(A12=Test_Conditions!$B$10,"Equal-voltage","Buck"))</f>
        <v>Buck</v>
      </c>
    </row>
    <row r="13" spans="1:13" x14ac:dyDescent="0.25">
      <c r="A13" s="5">
        <v>30</v>
      </c>
      <c r="B13" s="5">
        <v>6.25</v>
      </c>
      <c r="C13" s="5">
        <v>30</v>
      </c>
      <c r="D13" s="5">
        <v>3.77</v>
      </c>
      <c r="E13" s="5">
        <v>15.9</v>
      </c>
      <c r="F13" s="5">
        <v>6.51</v>
      </c>
      <c r="G13" s="6">
        <v>-6.1999999999999998E-3</v>
      </c>
      <c r="H13" s="6">
        <v>0.91520000000000001</v>
      </c>
      <c r="I13" s="7">
        <f>(E13-Test_Conditions!$B$10)/Test_Conditions!$B$10</f>
        <v>-6.2499999999999778E-3</v>
      </c>
      <c r="J13" s="8">
        <f t="shared" si="0"/>
        <v>0.91519893899204252</v>
      </c>
      <c r="K13" s="8">
        <f t="shared" si="1"/>
        <v>-4.9999999999978013E-5</v>
      </c>
      <c r="L13" s="8">
        <f t="shared" si="2"/>
        <v>-1.0610079574924214E-6</v>
      </c>
      <c r="M13" s="9" t="str">
        <f>IF(A13&lt;Test_Conditions!$B$10,"Boost",IF(A13=Test_Conditions!$B$10,"Equal-voltage","Buck"))</f>
        <v>Buck</v>
      </c>
    </row>
  </sheetData>
  <mergeCells count="1">
    <mergeCell ref="A1:M1"/>
  </mergeCells>
  <conditionalFormatting sqref="A3:M13">
    <cfRule type="cellIs" dxfId="4" priority="1" operator="equal">
      <formula>"FAIL"</formula>
    </cfRule>
  </conditionalFormatting>
  <pageMargins left="0.25" right="0.25" top="0.5" bottom="0.5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2" width="13" customWidth="1"/>
    <col min="3" max="3" width="25" customWidth="1"/>
    <col min="4" max="4" width="18" customWidth="1"/>
    <col min="5" max="6" width="16" customWidth="1"/>
    <col min="7" max="7" width="14" customWidth="1"/>
    <col min="8" max="8" width="20" customWidth="1"/>
  </cols>
  <sheetData>
    <row r="1" spans="1:8" ht="24" customHeight="1" x14ac:dyDescent="0.25">
      <c r="A1" s="15" t="s">
        <v>61</v>
      </c>
      <c r="B1" s="16"/>
      <c r="C1" s="16"/>
      <c r="D1" s="16"/>
      <c r="E1" s="16"/>
      <c r="F1" s="16"/>
      <c r="G1" s="16"/>
      <c r="H1" s="16"/>
    </row>
    <row r="2" spans="1:8" ht="34" customHeight="1" x14ac:dyDescent="0.25">
      <c r="A2" s="1" t="s">
        <v>48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</row>
    <row r="3" spans="1:8" x14ac:dyDescent="0.25">
      <c r="A3" s="10">
        <v>10</v>
      </c>
      <c r="B3" s="10">
        <v>1</v>
      </c>
      <c r="C3" s="10">
        <v>15.96</v>
      </c>
      <c r="D3" s="11" t="s">
        <v>69</v>
      </c>
      <c r="E3" s="12">
        <f>Test_Conditions!$B$10*(1-Test_Conditions!$B$11)</f>
        <v>15.84</v>
      </c>
      <c r="F3" s="12">
        <f>Test_Conditions!$B$10*(1+Test_Conditions!$B$11)</f>
        <v>16.16</v>
      </c>
      <c r="G3" s="13">
        <f>(C3-Test_Conditions!$B$10)/Test_Conditions!$B$10</f>
        <v>-2.4999999999999467E-3</v>
      </c>
      <c r="H3" s="2" t="str">
        <f>IF(AND(C3&gt;=E3,C3&lt;=F3),"PASS","FAIL")</f>
        <v>PASS</v>
      </c>
    </row>
    <row r="4" spans="1:8" x14ac:dyDescent="0.25">
      <c r="A4" s="10">
        <v>16</v>
      </c>
      <c r="B4" s="10">
        <v>1</v>
      </c>
      <c r="C4" s="10">
        <v>15.97</v>
      </c>
      <c r="D4" s="11" t="s">
        <v>69</v>
      </c>
      <c r="E4" s="12">
        <f>Test_Conditions!$B$10*(1-Test_Conditions!$B$11)</f>
        <v>15.84</v>
      </c>
      <c r="F4" s="12">
        <f>Test_Conditions!$B$10*(1+Test_Conditions!$B$11)</f>
        <v>16.16</v>
      </c>
      <c r="G4" s="13">
        <f>(C4-Test_Conditions!$B$10)/Test_Conditions!$B$10</f>
        <v>-1.87499999999996E-3</v>
      </c>
      <c r="H4" s="2" t="str">
        <f>IF(AND(C4&gt;=E4,C4&lt;=F4),"PASS","FAIL")</f>
        <v>PASS</v>
      </c>
    </row>
    <row r="5" spans="1:8" x14ac:dyDescent="0.25">
      <c r="A5" s="10">
        <v>30</v>
      </c>
      <c r="B5" s="10">
        <v>1</v>
      </c>
      <c r="C5" s="10">
        <v>15.96</v>
      </c>
      <c r="D5" s="11" t="s">
        <v>69</v>
      </c>
      <c r="E5" s="12">
        <f>Test_Conditions!$B$10*(1-Test_Conditions!$B$11)</f>
        <v>15.84</v>
      </c>
      <c r="F5" s="12">
        <f>Test_Conditions!$B$10*(1+Test_Conditions!$B$11)</f>
        <v>16.16</v>
      </c>
      <c r="G5" s="13">
        <f>(C5-Test_Conditions!$B$10)/Test_Conditions!$B$10</f>
        <v>-2.4999999999999467E-3</v>
      </c>
      <c r="H5" s="2" t="str">
        <f>IF(AND(C5&gt;=E5,C5&lt;=F5),"PASS","FAIL")</f>
        <v>PASS</v>
      </c>
    </row>
  </sheetData>
  <mergeCells count="1">
    <mergeCell ref="A1:H1"/>
  </mergeCells>
  <conditionalFormatting sqref="A3:H5">
    <cfRule type="cellIs" dxfId="3" priority="1" operator="equal">
      <formula>"FAIL"</formula>
    </cfRule>
  </conditionalFormatting>
  <pageMargins left="0.25" right="0.25" top="0.5" bottom="0.5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7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2" width="13" customWidth="1"/>
    <col min="3" max="3" width="25" customWidth="1"/>
    <col min="4" max="4" width="18" customWidth="1"/>
    <col min="5" max="6" width="20" customWidth="1"/>
  </cols>
  <sheetData>
    <row r="1" spans="1:6" ht="24" customHeight="1" x14ac:dyDescent="0.25">
      <c r="A1" s="15" t="s">
        <v>70</v>
      </c>
      <c r="B1" s="16"/>
      <c r="C1" s="16"/>
      <c r="D1" s="16"/>
      <c r="E1" s="16"/>
      <c r="F1" s="16"/>
    </row>
    <row r="2" spans="1:6" ht="34" customHeight="1" x14ac:dyDescent="0.25">
      <c r="A2" s="1" t="s">
        <v>48</v>
      </c>
      <c r="B2" s="1" t="s">
        <v>62</v>
      </c>
      <c r="C2" s="1" t="s">
        <v>71</v>
      </c>
      <c r="D2" s="1" t="s">
        <v>64</v>
      </c>
      <c r="E2" s="1" t="s">
        <v>72</v>
      </c>
      <c r="F2" s="1" t="s">
        <v>68</v>
      </c>
    </row>
    <row r="3" spans="1:6" x14ac:dyDescent="0.25">
      <c r="A3" s="10">
        <v>10</v>
      </c>
      <c r="B3" s="10">
        <v>1</v>
      </c>
      <c r="C3" s="10">
        <v>122</v>
      </c>
      <c r="D3" s="3" t="s">
        <v>69</v>
      </c>
      <c r="E3" s="12">
        <f>Test_Conditions!$B$12</f>
        <v>200</v>
      </c>
      <c r="F3" s="2" t="str">
        <f>IF(C3&lt;=E3,"PASS","FAIL")</f>
        <v>PASS</v>
      </c>
    </row>
    <row r="4" spans="1:6" x14ac:dyDescent="0.25">
      <c r="A4" s="10">
        <v>16</v>
      </c>
      <c r="B4" s="10">
        <v>1</v>
      </c>
      <c r="C4" s="10">
        <v>130</v>
      </c>
      <c r="D4" s="3" t="s">
        <v>69</v>
      </c>
      <c r="E4" s="12">
        <f>Test_Conditions!$B$12</f>
        <v>200</v>
      </c>
      <c r="F4" s="2" t="str">
        <f>IF(C4&lt;=E4,"PASS","FAIL")</f>
        <v>PASS</v>
      </c>
    </row>
    <row r="5" spans="1:6" x14ac:dyDescent="0.25">
      <c r="A5" s="10">
        <v>16</v>
      </c>
      <c r="B5" s="10">
        <v>5</v>
      </c>
      <c r="C5" s="10">
        <v>161</v>
      </c>
      <c r="D5" s="3" t="s">
        <v>69</v>
      </c>
      <c r="E5" s="12">
        <f>Test_Conditions!$B$12</f>
        <v>200</v>
      </c>
      <c r="F5" s="2" t="str">
        <f>IF(C5&lt;=E5,"PASS","FAIL")</f>
        <v>PASS</v>
      </c>
    </row>
    <row r="6" spans="1:6" x14ac:dyDescent="0.25">
      <c r="A6" s="10">
        <v>30</v>
      </c>
      <c r="B6" s="10">
        <v>1</v>
      </c>
      <c r="C6" s="10">
        <v>44</v>
      </c>
      <c r="D6" s="3" t="s">
        <v>69</v>
      </c>
      <c r="E6" s="12">
        <f>Test_Conditions!$B$12</f>
        <v>200</v>
      </c>
      <c r="F6" s="2" t="str">
        <f>IF(C6&lt;=E6,"PASS","FAIL")</f>
        <v>PASS</v>
      </c>
    </row>
    <row r="7" spans="1:6" x14ac:dyDescent="0.25">
      <c r="A7" s="10">
        <v>30</v>
      </c>
      <c r="B7" s="10">
        <v>6.25</v>
      </c>
      <c r="C7" s="10">
        <v>48</v>
      </c>
      <c r="D7" s="3" t="s">
        <v>69</v>
      </c>
      <c r="E7" s="12">
        <f>Test_Conditions!$B$12</f>
        <v>200</v>
      </c>
      <c r="F7" s="2" t="str">
        <f>IF(C7&lt;=E7,"PASS","FAIL")</f>
        <v>PASS</v>
      </c>
    </row>
  </sheetData>
  <mergeCells count="1">
    <mergeCell ref="A1:F1"/>
  </mergeCells>
  <conditionalFormatting sqref="A3:F7">
    <cfRule type="cellIs" dxfId="2" priority="1" operator="equal">
      <formula>"FAIL"</formula>
    </cfRule>
  </conditionalFormatting>
  <pageMargins left="0.25" right="0.25" top="0.5" bottom="0.5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2" width="13" customWidth="1"/>
    <col min="3" max="3" width="28" customWidth="1"/>
    <col min="4" max="4" width="18" customWidth="1"/>
    <col min="5" max="5" width="24" customWidth="1"/>
    <col min="6" max="6" width="20" customWidth="1"/>
  </cols>
  <sheetData>
    <row r="1" spans="1:6" ht="24" customHeight="1" x14ac:dyDescent="0.25">
      <c r="A1" s="15" t="s">
        <v>73</v>
      </c>
      <c r="B1" s="16"/>
      <c r="C1" s="16"/>
      <c r="D1" s="16"/>
      <c r="E1" s="16"/>
      <c r="F1" s="16"/>
    </row>
    <row r="2" spans="1:6" ht="34" customHeight="1" x14ac:dyDescent="0.25">
      <c r="A2" s="1" t="s">
        <v>48</v>
      </c>
      <c r="B2" s="1" t="s">
        <v>74</v>
      </c>
      <c r="C2" s="1" t="s">
        <v>75</v>
      </c>
      <c r="D2" s="1" t="s">
        <v>64</v>
      </c>
      <c r="E2" s="1" t="s">
        <v>76</v>
      </c>
      <c r="F2" s="1" t="s">
        <v>68</v>
      </c>
    </row>
    <row r="3" spans="1:6" x14ac:dyDescent="0.25">
      <c r="A3" s="10">
        <v>10</v>
      </c>
      <c r="B3" s="10">
        <v>1</v>
      </c>
      <c r="C3" s="10">
        <v>0.12</v>
      </c>
      <c r="D3" s="3" t="s">
        <v>69</v>
      </c>
      <c r="E3" s="12">
        <f>Test_Conditions!$B$14</f>
        <v>0.3</v>
      </c>
      <c r="F3" s="2" t="str">
        <f>IF(C3&lt;=E3,"PASS","FAIL")</f>
        <v>PASS</v>
      </c>
    </row>
    <row r="4" spans="1:6" x14ac:dyDescent="0.25">
      <c r="A4" s="10">
        <v>16</v>
      </c>
      <c r="B4" s="10">
        <v>1</v>
      </c>
      <c r="C4" s="10">
        <v>0.16</v>
      </c>
      <c r="D4" s="3" t="s">
        <v>69</v>
      </c>
      <c r="E4" s="12">
        <f>Test_Conditions!$B$14</f>
        <v>0.3</v>
      </c>
      <c r="F4" s="2" t="str">
        <f>IF(C4&lt;=E4,"PASS","FAIL")</f>
        <v>PASS</v>
      </c>
    </row>
    <row r="5" spans="1:6" x14ac:dyDescent="0.25">
      <c r="A5" s="10">
        <v>30</v>
      </c>
      <c r="B5" s="10">
        <v>1</v>
      </c>
      <c r="C5" s="10">
        <v>0.09</v>
      </c>
      <c r="D5" s="3" t="s">
        <v>69</v>
      </c>
      <c r="E5" s="12">
        <f>Test_Conditions!$B$14</f>
        <v>0.3</v>
      </c>
      <c r="F5" s="2" t="str">
        <f>IF(C5&lt;=E5,"PASS","FAIL")</f>
        <v>PASS</v>
      </c>
    </row>
  </sheetData>
  <mergeCells count="1">
    <mergeCell ref="A1:F1"/>
  </mergeCells>
  <conditionalFormatting sqref="A3:F5">
    <cfRule type="cellIs" dxfId="1" priority="1" operator="equal">
      <formula>"FAIL"</formula>
    </cfRule>
  </conditionalFormatting>
  <pageMargins left="0.25" right="0.25" top="0.5" bottom="0.5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7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1" width="23" customWidth="1"/>
    <col min="2" max="3" width="24" customWidth="1"/>
    <col min="4" max="5" width="18" customWidth="1"/>
    <col min="6" max="6" width="16" customWidth="1"/>
    <col min="7" max="7" width="14" customWidth="1"/>
    <col min="8" max="8" width="18" customWidth="1"/>
    <col min="9" max="9" width="20" customWidth="1"/>
  </cols>
  <sheetData>
    <row r="1" spans="1:9" ht="24" customHeight="1" x14ac:dyDescent="0.25">
      <c r="A1" s="15" t="s">
        <v>77</v>
      </c>
      <c r="B1" s="16"/>
      <c r="C1" s="16"/>
      <c r="D1" s="16"/>
      <c r="E1" s="16"/>
      <c r="F1" s="16"/>
      <c r="G1" s="16"/>
      <c r="H1" s="16"/>
      <c r="I1" s="16"/>
    </row>
    <row r="2" spans="1:9" ht="34" customHeight="1" x14ac:dyDescent="0.25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64</v>
      </c>
      <c r="I2" s="1" t="s">
        <v>68</v>
      </c>
    </row>
    <row r="3" spans="1:9" x14ac:dyDescent="0.25">
      <c r="A3" s="3" t="s">
        <v>85</v>
      </c>
      <c r="B3" s="3" t="s">
        <v>86</v>
      </c>
      <c r="C3" s="3" t="s">
        <v>87</v>
      </c>
      <c r="D3" s="11">
        <v>6.3000000000000003E-4</v>
      </c>
      <c r="E3" s="13">
        <f>ABS(Steady_State!$E$3-Steady_State!$E$5)/Test_Conditions!$B$10</f>
        <v>6.250000000000977E-4</v>
      </c>
      <c r="F3" s="14">
        <f>E3-D3</f>
        <v>-4.9999999999023265E-6</v>
      </c>
      <c r="G3" s="13">
        <f>Test_Conditions!$B$15</f>
        <v>0.01</v>
      </c>
      <c r="H3" s="3" t="s">
        <v>69</v>
      </c>
      <c r="I3" s="2" t="str">
        <f>IF(E3&lt;=G3,"PASS","FAIL")</f>
        <v>PASS</v>
      </c>
    </row>
    <row r="4" spans="1:9" x14ac:dyDescent="0.25">
      <c r="A4" s="3" t="s">
        <v>85</v>
      </c>
      <c r="B4" s="3" t="s">
        <v>88</v>
      </c>
      <c r="C4" s="3" t="s">
        <v>89</v>
      </c>
      <c r="D4" s="11">
        <v>1.56E-3</v>
      </c>
      <c r="E4" s="13">
        <f>ABS(Steady_State!$E$6-Steady_State!$E$9)/Test_Conditions!$B$10</f>
        <v>1.5625000000000222E-3</v>
      </c>
      <c r="F4" s="14">
        <f>E4-D4</f>
        <v>2.5000000000222327E-6</v>
      </c>
      <c r="G4" s="13">
        <f>Test_Conditions!$B$15</f>
        <v>0.01</v>
      </c>
      <c r="H4" s="3" t="s">
        <v>69</v>
      </c>
      <c r="I4" s="2" t="str">
        <f>IF(E4&lt;=G4,"PASS","FAIL")</f>
        <v>PASS</v>
      </c>
    </row>
    <row r="5" spans="1:9" x14ac:dyDescent="0.25">
      <c r="A5" s="3" t="s">
        <v>85</v>
      </c>
      <c r="B5" s="3" t="s">
        <v>90</v>
      </c>
      <c r="C5" s="3" t="s">
        <v>91</v>
      </c>
      <c r="D5" s="11">
        <v>4.3800000000000002E-3</v>
      </c>
      <c r="E5" s="13">
        <f>ABS(Steady_State!$E$10-Steady_State!$E$13)/Test_Conditions!$B$10</f>
        <v>4.3750000000000178E-3</v>
      </c>
      <c r="F5" s="14">
        <f>E5-D5</f>
        <v>-4.999999999982449E-6</v>
      </c>
      <c r="G5" s="13">
        <f>Test_Conditions!$B$15</f>
        <v>0.01</v>
      </c>
      <c r="H5" s="3" t="s">
        <v>69</v>
      </c>
      <c r="I5" s="2" t="str">
        <f>IF(E5&lt;=G5,"PASS","FAIL")</f>
        <v>PASS</v>
      </c>
    </row>
    <row r="6" spans="1:9" x14ac:dyDescent="0.25">
      <c r="A6" s="3" t="s">
        <v>92</v>
      </c>
      <c r="B6" s="3" t="s">
        <v>93</v>
      </c>
      <c r="C6" s="3" t="s">
        <v>94</v>
      </c>
      <c r="D6" s="11">
        <v>1.25E-3</v>
      </c>
      <c r="E6" s="13">
        <f>(MAX(Steady_State!$E$4,Steady_State!$E$7,Steady_State!$E$11)-MIN(Steady_State!$E$4,Steady_State!$E$7,Steady_State!$E$11))/Test_Conditions!$B$10</f>
        <v>1.2500000000000844E-3</v>
      </c>
      <c r="F6" s="14">
        <f>E6-D6</f>
        <v>8.4350929019372245E-17</v>
      </c>
      <c r="G6" s="13">
        <f>Test_Conditions!$B$15</f>
        <v>0.01</v>
      </c>
      <c r="H6" s="3" t="s">
        <v>69</v>
      </c>
      <c r="I6" s="2" t="str">
        <f>IF(E6&lt;=G6,"PASS","FAIL")</f>
        <v>PASS</v>
      </c>
    </row>
    <row r="7" spans="1:9" x14ac:dyDescent="0.25">
      <c r="A7" s="3" t="s">
        <v>92</v>
      </c>
      <c r="B7" s="3" t="s">
        <v>93</v>
      </c>
      <c r="C7" s="3" t="s">
        <v>95</v>
      </c>
      <c r="D7" s="11">
        <v>6.3000000000000003E-4</v>
      </c>
      <c r="E7" s="13">
        <f>(MAX(Steady_State!$E$5,Steady_State!$E$8,Steady_State!$E$12)-MIN(Steady_State!$E$5,Steady_State!$E$8,Steady_State!$E$12))/Test_Conditions!$B$10</f>
        <v>6.250000000000977E-4</v>
      </c>
      <c r="F7" s="14">
        <f>E7-D7</f>
        <v>-4.9999999999023265E-6</v>
      </c>
      <c r="G7" s="13">
        <f>Test_Conditions!$B$15</f>
        <v>0.01</v>
      </c>
      <c r="H7" s="3" t="s">
        <v>69</v>
      </c>
      <c r="I7" s="2" t="str">
        <f>IF(E7&lt;=G7,"PASS","FAIL")</f>
        <v>PASS</v>
      </c>
    </row>
  </sheetData>
  <mergeCells count="1">
    <mergeCell ref="A1:I1"/>
  </mergeCells>
  <conditionalFormatting sqref="A3:I7">
    <cfRule type="cellIs" dxfId="0" priority="1" operator="equal">
      <formula>"FAIL"</formula>
    </cfRule>
  </conditionalFormatting>
  <pageMargins left="0.25" right="0.25" top="0.5" bottom="0.5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7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1" width="28" customWidth="1"/>
    <col min="2" max="2" width="24" customWidth="1"/>
    <col min="3" max="4" width="18" customWidth="1"/>
    <col min="5" max="5" width="100" customWidth="1"/>
  </cols>
  <sheetData>
    <row r="1" spans="1:5" ht="24" customHeight="1" x14ac:dyDescent="0.25">
      <c r="A1" s="15" t="s">
        <v>96</v>
      </c>
      <c r="B1" s="16"/>
      <c r="C1" s="16"/>
      <c r="D1" s="16"/>
      <c r="E1" s="16"/>
    </row>
    <row r="2" spans="1:5" ht="34" customHeight="1" x14ac:dyDescent="0.25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</row>
    <row r="3" spans="1:5" ht="28" x14ac:dyDescent="0.25">
      <c r="A3" s="2" t="s">
        <v>102</v>
      </c>
      <c r="B3" s="2" t="s">
        <v>18</v>
      </c>
      <c r="C3" s="2" t="s">
        <v>103</v>
      </c>
      <c r="D3" s="2" t="s">
        <v>104</v>
      </c>
      <c r="E3" s="2" t="s">
        <v>105</v>
      </c>
    </row>
    <row r="4" spans="1:5" ht="28" x14ac:dyDescent="0.25">
      <c r="A4" s="2" t="s">
        <v>102</v>
      </c>
      <c r="B4" s="2" t="s">
        <v>19</v>
      </c>
      <c r="C4" s="2" t="s">
        <v>106</v>
      </c>
      <c r="D4" s="2" t="s">
        <v>107</v>
      </c>
      <c r="E4" s="2" t="s">
        <v>108</v>
      </c>
    </row>
    <row r="5" spans="1:5" ht="28" x14ac:dyDescent="0.25">
      <c r="A5" s="2" t="s">
        <v>102</v>
      </c>
      <c r="B5" s="2" t="s">
        <v>20</v>
      </c>
      <c r="C5" s="2" t="s">
        <v>103</v>
      </c>
      <c r="D5" s="2" t="s">
        <v>109</v>
      </c>
      <c r="E5" s="2" t="s">
        <v>110</v>
      </c>
    </row>
    <row r="6" spans="1:5" ht="28" x14ac:dyDescent="0.25">
      <c r="A6" s="2" t="s">
        <v>111</v>
      </c>
      <c r="B6" s="2" t="s">
        <v>112</v>
      </c>
      <c r="C6" s="2" t="s">
        <v>39</v>
      </c>
      <c r="D6" s="2" t="s">
        <v>113</v>
      </c>
      <c r="E6" s="2" t="s">
        <v>114</v>
      </c>
    </row>
    <row r="7" spans="1:5" ht="28" x14ac:dyDescent="0.25">
      <c r="A7" s="2" t="s">
        <v>111</v>
      </c>
      <c r="B7" s="2" t="s">
        <v>115</v>
      </c>
      <c r="C7" s="2" t="s">
        <v>44</v>
      </c>
      <c r="D7" s="2" t="s">
        <v>113</v>
      </c>
      <c r="E7" s="2" t="s">
        <v>116</v>
      </c>
    </row>
    <row r="8" spans="1:5" ht="28" x14ac:dyDescent="0.25">
      <c r="A8" s="2" t="s">
        <v>111</v>
      </c>
      <c r="B8" s="2" t="s">
        <v>117</v>
      </c>
      <c r="C8" s="2" t="s">
        <v>39</v>
      </c>
      <c r="D8" s="2" t="s">
        <v>113</v>
      </c>
      <c r="E8" s="2" t="s">
        <v>118</v>
      </c>
    </row>
    <row r="9" spans="1:5" ht="28" x14ac:dyDescent="0.25">
      <c r="A9" s="2" t="s">
        <v>111</v>
      </c>
      <c r="B9" s="2" t="s">
        <v>119</v>
      </c>
      <c r="C9" s="2" t="s">
        <v>44</v>
      </c>
      <c r="D9" s="2" t="s">
        <v>113</v>
      </c>
      <c r="E9" s="2" t="s">
        <v>120</v>
      </c>
    </row>
    <row r="10" spans="1:5" ht="28" x14ac:dyDescent="0.25">
      <c r="A10" s="2" t="s">
        <v>111</v>
      </c>
      <c r="B10" s="2" t="s">
        <v>121</v>
      </c>
      <c r="C10" s="2" t="s">
        <v>39</v>
      </c>
      <c r="D10" s="2" t="s">
        <v>113</v>
      </c>
      <c r="E10" s="2" t="s">
        <v>122</v>
      </c>
    </row>
    <row r="11" spans="1:5" ht="28" x14ac:dyDescent="0.25">
      <c r="A11" s="2" t="s">
        <v>111</v>
      </c>
      <c r="B11" s="2" t="s">
        <v>123</v>
      </c>
      <c r="C11" s="2" t="s">
        <v>44</v>
      </c>
      <c r="D11" s="2" t="s">
        <v>113</v>
      </c>
      <c r="E11" s="2" t="s">
        <v>124</v>
      </c>
    </row>
    <row r="12" spans="1:5" x14ac:dyDescent="0.25">
      <c r="A12" s="2" t="s">
        <v>111</v>
      </c>
      <c r="B12" s="2" t="s">
        <v>125</v>
      </c>
      <c r="C12" s="2" t="s">
        <v>24</v>
      </c>
      <c r="D12" s="2" t="s">
        <v>126</v>
      </c>
      <c r="E12" s="2" t="s">
        <v>127</v>
      </c>
    </row>
    <row r="13" spans="1:5" x14ac:dyDescent="0.25">
      <c r="A13" s="2" t="s">
        <v>111</v>
      </c>
      <c r="B13" s="2" t="s">
        <v>128</v>
      </c>
      <c r="C13" s="2" t="s">
        <v>24</v>
      </c>
      <c r="D13" s="2" t="s">
        <v>126</v>
      </c>
      <c r="E13" s="2" t="s">
        <v>129</v>
      </c>
    </row>
    <row r="14" spans="1:5" x14ac:dyDescent="0.25">
      <c r="A14" s="2" t="s">
        <v>111</v>
      </c>
      <c r="B14" s="2" t="s">
        <v>130</v>
      </c>
      <c r="C14" s="2" t="s">
        <v>24</v>
      </c>
      <c r="D14" s="2" t="s">
        <v>131</v>
      </c>
      <c r="E14" s="2" t="s">
        <v>132</v>
      </c>
    </row>
    <row r="15" spans="1:5" x14ac:dyDescent="0.25">
      <c r="A15" s="2" t="s">
        <v>111</v>
      </c>
      <c r="B15" s="2" t="s">
        <v>133</v>
      </c>
      <c r="C15" s="2" t="s">
        <v>24</v>
      </c>
      <c r="D15" s="2" t="s">
        <v>131</v>
      </c>
      <c r="E15" s="2" t="s">
        <v>134</v>
      </c>
    </row>
    <row r="16" spans="1:5" x14ac:dyDescent="0.25">
      <c r="A16" s="2" t="s">
        <v>111</v>
      </c>
      <c r="B16" s="2" t="s">
        <v>135</v>
      </c>
      <c r="C16" s="2" t="s">
        <v>24</v>
      </c>
      <c r="D16" s="2" t="s">
        <v>131</v>
      </c>
      <c r="E16" s="2" t="s">
        <v>136</v>
      </c>
    </row>
    <row r="17" spans="1:5" x14ac:dyDescent="0.25">
      <c r="A17" s="2" t="s">
        <v>111</v>
      </c>
      <c r="B17" s="2" t="s">
        <v>137</v>
      </c>
      <c r="C17" s="2" t="s">
        <v>24</v>
      </c>
      <c r="D17" s="2" t="s">
        <v>131</v>
      </c>
      <c r="E17" s="2" t="s">
        <v>138</v>
      </c>
    </row>
    <row r="18" spans="1:5" x14ac:dyDescent="0.25">
      <c r="A18" s="2" t="s">
        <v>111</v>
      </c>
      <c r="B18" s="2" t="s">
        <v>60</v>
      </c>
      <c r="C18" s="2" t="s">
        <v>103</v>
      </c>
      <c r="D18" s="2" t="s">
        <v>131</v>
      </c>
      <c r="E18" s="2" t="s">
        <v>139</v>
      </c>
    </row>
    <row r="19" spans="1:5" ht="28" x14ac:dyDescent="0.25">
      <c r="A19" s="2" t="s">
        <v>140</v>
      </c>
      <c r="B19" s="2" t="s">
        <v>112</v>
      </c>
      <c r="C19" s="2" t="s">
        <v>39</v>
      </c>
      <c r="D19" s="2" t="s">
        <v>113</v>
      </c>
      <c r="E19" s="2" t="s">
        <v>141</v>
      </c>
    </row>
    <row r="20" spans="1:5" ht="28" x14ac:dyDescent="0.25">
      <c r="A20" s="2" t="s">
        <v>140</v>
      </c>
      <c r="B20" s="2" t="s">
        <v>33</v>
      </c>
      <c r="C20" s="2" t="s">
        <v>44</v>
      </c>
      <c r="D20" s="2" t="s">
        <v>113</v>
      </c>
      <c r="E20" s="2" t="s">
        <v>142</v>
      </c>
    </row>
    <row r="21" spans="1:5" ht="28" x14ac:dyDescent="0.25">
      <c r="A21" s="2" t="s">
        <v>140</v>
      </c>
      <c r="B21" s="2" t="s">
        <v>143</v>
      </c>
      <c r="C21" s="2" t="s">
        <v>39</v>
      </c>
      <c r="D21" s="2" t="s">
        <v>113</v>
      </c>
      <c r="E21" s="2" t="s">
        <v>144</v>
      </c>
    </row>
    <row r="22" spans="1:5" x14ac:dyDescent="0.25">
      <c r="A22" s="2" t="s">
        <v>140</v>
      </c>
      <c r="B22" s="2" t="s">
        <v>64</v>
      </c>
      <c r="C22" s="2" t="s">
        <v>103</v>
      </c>
      <c r="D22" s="2" t="s">
        <v>126</v>
      </c>
      <c r="E22" s="2" t="s">
        <v>145</v>
      </c>
    </row>
    <row r="23" spans="1:5" x14ac:dyDescent="0.25">
      <c r="A23" s="2" t="s">
        <v>140</v>
      </c>
      <c r="B23" s="2" t="s">
        <v>146</v>
      </c>
      <c r="C23" s="2" t="s">
        <v>39</v>
      </c>
      <c r="D23" s="2" t="s">
        <v>131</v>
      </c>
      <c r="E23" s="2" t="s">
        <v>147</v>
      </c>
    </row>
    <row r="24" spans="1:5" x14ac:dyDescent="0.25">
      <c r="A24" s="2" t="s">
        <v>140</v>
      </c>
      <c r="B24" s="2" t="s">
        <v>148</v>
      </c>
      <c r="C24" s="2" t="s">
        <v>39</v>
      </c>
      <c r="D24" s="2" t="s">
        <v>131</v>
      </c>
      <c r="E24" s="2" t="s">
        <v>149</v>
      </c>
    </row>
    <row r="25" spans="1:5" x14ac:dyDescent="0.25">
      <c r="A25" s="2" t="s">
        <v>140</v>
      </c>
      <c r="B25" s="2" t="s">
        <v>150</v>
      </c>
      <c r="C25" s="2" t="s">
        <v>24</v>
      </c>
      <c r="D25" s="2" t="s">
        <v>131</v>
      </c>
      <c r="E25" s="2" t="s">
        <v>151</v>
      </c>
    </row>
    <row r="26" spans="1:5" x14ac:dyDescent="0.25">
      <c r="A26" s="2" t="s">
        <v>140</v>
      </c>
      <c r="B26" s="2" t="s">
        <v>68</v>
      </c>
      <c r="C26" s="2" t="s">
        <v>103</v>
      </c>
      <c r="D26" s="2" t="s">
        <v>131</v>
      </c>
      <c r="E26" s="2" t="s">
        <v>152</v>
      </c>
    </row>
    <row r="27" spans="1:5" ht="28" x14ac:dyDescent="0.25">
      <c r="A27" s="2" t="s">
        <v>153</v>
      </c>
      <c r="B27" s="2" t="s">
        <v>112</v>
      </c>
      <c r="C27" s="2" t="s">
        <v>39</v>
      </c>
      <c r="D27" s="2" t="s">
        <v>113</v>
      </c>
      <c r="E27" s="2" t="s">
        <v>141</v>
      </c>
    </row>
    <row r="28" spans="1:5" ht="28" x14ac:dyDescent="0.25">
      <c r="A28" s="2" t="s">
        <v>153</v>
      </c>
      <c r="B28" s="2" t="s">
        <v>33</v>
      </c>
      <c r="C28" s="2" t="s">
        <v>44</v>
      </c>
      <c r="D28" s="2" t="s">
        <v>113</v>
      </c>
      <c r="E28" s="2" t="s">
        <v>142</v>
      </c>
    </row>
    <row r="29" spans="1:5" ht="28" x14ac:dyDescent="0.25">
      <c r="A29" s="2" t="s">
        <v>153</v>
      </c>
      <c r="B29" s="2" t="s">
        <v>154</v>
      </c>
      <c r="C29" s="2" t="s">
        <v>42</v>
      </c>
      <c r="D29" s="2" t="s">
        <v>113</v>
      </c>
      <c r="E29" s="2" t="s">
        <v>155</v>
      </c>
    </row>
    <row r="30" spans="1:5" x14ac:dyDescent="0.25">
      <c r="A30" s="2" t="s">
        <v>153</v>
      </c>
      <c r="B30" s="2" t="s">
        <v>64</v>
      </c>
      <c r="C30" s="2" t="s">
        <v>103</v>
      </c>
      <c r="D30" s="2" t="s">
        <v>126</v>
      </c>
      <c r="E30" s="2" t="s">
        <v>145</v>
      </c>
    </row>
    <row r="31" spans="1:5" x14ac:dyDescent="0.25">
      <c r="A31" s="2" t="s">
        <v>153</v>
      </c>
      <c r="B31" s="2" t="s">
        <v>41</v>
      </c>
      <c r="C31" s="2" t="s">
        <v>42</v>
      </c>
      <c r="D31" s="2" t="s">
        <v>131</v>
      </c>
      <c r="E31" s="2" t="s">
        <v>156</v>
      </c>
    </row>
    <row r="32" spans="1:5" x14ac:dyDescent="0.25">
      <c r="A32" s="2" t="s">
        <v>153</v>
      </c>
      <c r="B32" s="2" t="s">
        <v>68</v>
      </c>
      <c r="C32" s="2" t="s">
        <v>103</v>
      </c>
      <c r="D32" s="2" t="s">
        <v>131</v>
      </c>
      <c r="E32" s="2" t="s">
        <v>157</v>
      </c>
    </row>
    <row r="33" spans="1:5" ht="28" x14ac:dyDescent="0.25">
      <c r="A33" s="2" t="s">
        <v>158</v>
      </c>
      <c r="B33" s="2" t="s">
        <v>112</v>
      </c>
      <c r="C33" s="2" t="s">
        <v>39</v>
      </c>
      <c r="D33" s="2" t="s">
        <v>113</v>
      </c>
      <c r="E33" s="2" t="s">
        <v>159</v>
      </c>
    </row>
    <row r="34" spans="1:5" ht="28" x14ac:dyDescent="0.25">
      <c r="A34" s="2" t="s">
        <v>158</v>
      </c>
      <c r="B34" s="2" t="s">
        <v>160</v>
      </c>
      <c r="C34" s="2" t="s">
        <v>44</v>
      </c>
      <c r="D34" s="2" t="s">
        <v>113</v>
      </c>
      <c r="E34" s="2" t="s">
        <v>161</v>
      </c>
    </row>
    <row r="35" spans="1:5" ht="28" x14ac:dyDescent="0.25">
      <c r="A35" s="2" t="s">
        <v>158</v>
      </c>
      <c r="B35" s="2" t="s">
        <v>162</v>
      </c>
      <c r="C35" s="2" t="s">
        <v>44</v>
      </c>
      <c r="D35" s="2" t="s">
        <v>113</v>
      </c>
      <c r="E35" s="2" t="s">
        <v>163</v>
      </c>
    </row>
    <row r="36" spans="1:5" x14ac:dyDescent="0.25">
      <c r="A36" s="2" t="s">
        <v>158</v>
      </c>
      <c r="B36" s="2" t="s">
        <v>64</v>
      </c>
      <c r="C36" s="2" t="s">
        <v>103</v>
      </c>
      <c r="D36" s="2" t="s">
        <v>126</v>
      </c>
      <c r="E36" s="2" t="s">
        <v>164</v>
      </c>
    </row>
    <row r="37" spans="1:5" x14ac:dyDescent="0.25">
      <c r="A37" s="2" t="s">
        <v>158</v>
      </c>
      <c r="B37" s="2" t="s">
        <v>165</v>
      </c>
      <c r="C37" s="2" t="s">
        <v>44</v>
      </c>
      <c r="D37" s="2" t="s">
        <v>131</v>
      </c>
      <c r="E37" s="2" t="s">
        <v>166</v>
      </c>
    </row>
    <row r="38" spans="1:5" x14ac:dyDescent="0.25">
      <c r="A38" s="2" t="s">
        <v>158</v>
      </c>
      <c r="B38" s="2" t="s">
        <v>68</v>
      </c>
      <c r="C38" s="2" t="s">
        <v>103</v>
      </c>
      <c r="D38" s="2" t="s">
        <v>131</v>
      </c>
      <c r="E38" s="2" t="s">
        <v>167</v>
      </c>
    </row>
    <row r="39" spans="1:5" x14ac:dyDescent="0.25">
      <c r="A39" s="2" t="s">
        <v>168</v>
      </c>
      <c r="B39" s="2" t="s">
        <v>78</v>
      </c>
      <c r="C39" s="2" t="s">
        <v>103</v>
      </c>
      <c r="D39" s="2" t="s">
        <v>126</v>
      </c>
      <c r="E39" s="2" t="s">
        <v>169</v>
      </c>
    </row>
    <row r="40" spans="1:5" x14ac:dyDescent="0.25">
      <c r="A40" s="2" t="s">
        <v>168</v>
      </c>
      <c r="B40" s="2" t="s">
        <v>170</v>
      </c>
      <c r="C40" s="2" t="s">
        <v>39</v>
      </c>
      <c r="D40" s="2" t="s">
        <v>126</v>
      </c>
      <c r="E40" s="2" t="s">
        <v>171</v>
      </c>
    </row>
    <row r="41" spans="1:5" x14ac:dyDescent="0.25">
      <c r="A41" s="2" t="s">
        <v>168</v>
      </c>
      <c r="B41" s="2" t="s">
        <v>172</v>
      </c>
      <c r="C41" s="2" t="s">
        <v>44</v>
      </c>
      <c r="D41" s="2" t="s">
        <v>126</v>
      </c>
      <c r="E41" s="2" t="s">
        <v>173</v>
      </c>
    </row>
    <row r="42" spans="1:5" x14ac:dyDescent="0.25">
      <c r="A42" s="2" t="s">
        <v>168</v>
      </c>
      <c r="B42" s="2" t="s">
        <v>174</v>
      </c>
      <c r="C42" s="2" t="s">
        <v>24</v>
      </c>
      <c r="D42" s="2" t="s">
        <v>126</v>
      </c>
      <c r="E42" s="2" t="s">
        <v>175</v>
      </c>
    </row>
    <row r="43" spans="1:5" ht="28" x14ac:dyDescent="0.25">
      <c r="A43" s="2" t="s">
        <v>168</v>
      </c>
      <c r="B43" s="2" t="s">
        <v>176</v>
      </c>
      <c r="C43" s="2" t="s">
        <v>24</v>
      </c>
      <c r="D43" s="2" t="s">
        <v>131</v>
      </c>
      <c r="E43" s="2" t="s">
        <v>177</v>
      </c>
    </row>
    <row r="44" spans="1:5" x14ac:dyDescent="0.25">
      <c r="A44" s="2" t="s">
        <v>168</v>
      </c>
      <c r="B44" s="2" t="s">
        <v>178</v>
      </c>
      <c r="C44" s="2" t="s">
        <v>24</v>
      </c>
      <c r="D44" s="2" t="s">
        <v>131</v>
      </c>
      <c r="E44" s="2" t="s">
        <v>179</v>
      </c>
    </row>
    <row r="45" spans="1:5" x14ac:dyDescent="0.25">
      <c r="A45" s="2" t="s">
        <v>168</v>
      </c>
      <c r="B45" s="2" t="s">
        <v>180</v>
      </c>
      <c r="C45" s="2" t="s">
        <v>24</v>
      </c>
      <c r="D45" s="2" t="s">
        <v>131</v>
      </c>
      <c r="E45" s="2" t="s">
        <v>181</v>
      </c>
    </row>
    <row r="46" spans="1:5" x14ac:dyDescent="0.25">
      <c r="A46" s="2" t="s">
        <v>168</v>
      </c>
      <c r="B46" s="2" t="s">
        <v>64</v>
      </c>
      <c r="C46" s="2" t="s">
        <v>103</v>
      </c>
      <c r="D46" s="2" t="s">
        <v>126</v>
      </c>
      <c r="E46" s="2" t="s">
        <v>182</v>
      </c>
    </row>
    <row r="47" spans="1:5" x14ac:dyDescent="0.25">
      <c r="A47" s="2" t="s">
        <v>168</v>
      </c>
      <c r="B47" s="2" t="s">
        <v>68</v>
      </c>
      <c r="C47" s="2" t="s">
        <v>103</v>
      </c>
      <c r="D47" s="2" t="s">
        <v>131</v>
      </c>
      <c r="E47" s="2" t="s">
        <v>183</v>
      </c>
    </row>
  </sheetData>
  <mergeCells count="1">
    <mergeCell ref="A1:E1"/>
  </mergeCells>
  <pageMargins left="0.25" right="0.25" top="0.5" bottom="0.5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showGridLines="0" workbookViewId="0">
      <pane ySplit="2" topLeftCell="A3" activePane="bottomLeft" state="frozen"/>
      <selection pane="bottomLeft"/>
    </sheetView>
  </sheetViews>
  <sheetFormatPr defaultRowHeight="14" x14ac:dyDescent="0.25"/>
  <cols>
    <col min="1" max="1" width="30" customWidth="1"/>
    <col min="2" max="2" width="115" customWidth="1"/>
  </cols>
  <sheetData>
    <row r="1" spans="1:2" ht="24" customHeight="1" x14ac:dyDescent="0.25">
      <c r="A1" s="15" t="s">
        <v>184</v>
      </c>
      <c r="B1" s="16"/>
    </row>
    <row r="2" spans="1:2" ht="34" customHeight="1" x14ac:dyDescent="0.25">
      <c r="A2" s="1" t="s">
        <v>185</v>
      </c>
      <c r="B2" s="1" t="s">
        <v>19</v>
      </c>
    </row>
    <row r="3" spans="1:2" x14ac:dyDescent="0.25">
      <c r="A3" s="2" t="s">
        <v>186</v>
      </c>
      <c r="B3" s="2" t="s">
        <v>187</v>
      </c>
    </row>
    <row r="4" spans="1:2" x14ac:dyDescent="0.25">
      <c r="A4" s="2" t="s">
        <v>188</v>
      </c>
      <c r="B4" s="2" t="s">
        <v>189</v>
      </c>
    </row>
    <row r="5" spans="1:2" x14ac:dyDescent="0.25">
      <c r="A5" s="2" t="s">
        <v>190</v>
      </c>
      <c r="B5" s="2" t="s">
        <v>191</v>
      </c>
    </row>
    <row r="6" spans="1:2" x14ac:dyDescent="0.25">
      <c r="A6" s="2" t="s">
        <v>192</v>
      </c>
      <c r="B6" s="2" t="s">
        <v>193</v>
      </c>
    </row>
    <row r="7" spans="1:2" x14ac:dyDescent="0.25">
      <c r="A7" s="2" t="s">
        <v>194</v>
      </c>
      <c r="B7" s="2" t="s">
        <v>16</v>
      </c>
    </row>
    <row r="8" spans="1:2" x14ac:dyDescent="0.25">
      <c r="A8" s="2" t="s">
        <v>195</v>
      </c>
      <c r="B8" s="2" t="s">
        <v>196</v>
      </c>
    </row>
  </sheetData>
  <mergeCells count="1">
    <mergeCell ref="A1:B1"/>
  </mergeCells>
  <pageMargins left="0.25" right="0.25" top="0.5" bottom="0.5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</vt:lpstr>
      <vt:lpstr>Test_Conditions</vt:lpstr>
      <vt:lpstr>Steady_State</vt:lpstr>
      <vt:lpstr>Voltage_Feedback</vt:lpstr>
      <vt:lpstr>Output_Ripple</vt:lpstr>
      <vt:lpstr>CC_Error</vt:lpstr>
      <vt:lpstr>Regulation</vt:lpstr>
      <vt:lpstr>Data_Dictionary</vt:lpstr>
      <vt:lpstr>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LM5177 Measurement Data</dc:title>
  <dc:subject>Sanitized converter verification measurements</dc:subject>
  <dc:creator>LM5177 Power Converter Project Contributors</dc:creator>
  <dc:description>Self-contained technical converter verification measurements with formula-derived metrics and sanitized provenance.</dc:description>
  <cp:lastModifiedBy>LM5177 Power Converter Project Contributors</cp:lastModifiedBy>
  <dcterms:created xsi:type="dcterms:W3CDTF">2026-10-19T07:29:59Z</dcterms:created>
  <dcterms:modified xsi:type="dcterms:W3CDTF">2026-10-19T07:46:12Z</dcterms:modified>
</cp:coreProperties>
</file>